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600" windowHeight="6800" tabRatio="500"/>
  </bookViews>
  <sheets>
    <sheet name="Data" sheetId="1" r:id="rId1"/>
    <sheet name="Cleaning Note" sheetId="2" r:id="rId2"/>
    <sheet name="Summary" sheetId="3" r:id="rId3"/>
    <sheet name="Dashboard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<sst xmlns="http://schemas.openxmlformats.org/spreadsheetml/2006/main" count="149" uniqueCount="78">
  <si>
    <t>OrderID</t>
  </si>
  <si>
    <t>Month</t>
  </si>
  <si>
    <t>City</t>
  </si>
  <si>
    <t>Product</t>
  </si>
  <si>
    <t>Quantity</t>
  </si>
  <si>
    <t>UnitPrice</t>
  </si>
  <si>
    <t>Total</t>
  </si>
  <si>
    <t>C01</t>
  </si>
  <si>
    <t>Jul</t>
  </si>
  <si>
    <t>Lahore</t>
  </si>
  <si>
    <t>Embroidered Shawl</t>
  </si>
  <si>
    <t>C02</t>
  </si>
  <si>
    <t>Multan</t>
  </si>
  <si>
    <t>Blue Pottery Vase</t>
  </si>
  <si>
    <t>C03</t>
  </si>
  <si>
    <t>Karachi</t>
  </si>
  <si>
    <t>Handmade Bag</t>
  </si>
  <si>
    <t>C04</t>
  </si>
  <si>
    <t>Islamabad</t>
  </si>
  <si>
    <t>Khussa</t>
  </si>
  <si>
    <t>C05</t>
  </si>
  <si>
    <t>C06</t>
  </si>
  <si>
    <t>C07</t>
  </si>
  <si>
    <t>Aug</t>
  </si>
  <si>
    <t>C08</t>
  </si>
  <si>
    <t>C09</t>
  </si>
  <si>
    <t>C10</t>
  </si>
  <si>
    <t>C11</t>
  </si>
  <si>
    <t>C12</t>
  </si>
  <si>
    <t>C13</t>
  </si>
  <si>
    <t>Sep</t>
  </si>
  <si>
    <t>C14</t>
  </si>
  <si>
    <t>C15</t>
  </si>
  <si>
    <t>C16</t>
  </si>
  <si>
    <t>C17</t>
  </si>
  <si>
    <t>C18</t>
  </si>
  <si>
    <t>Cleaning note</t>
  </si>
  <si>
    <t>Source: Day 15 Practical B dataset from the course handout (a small online shop run by women artisans): 18 orders, July to September.</t>
  </si>
  <si>
    <t>Headers: one clear header row; Total = Quantity x UnitPrice (column G, formula =E2*F2 filled down to row 19).</t>
  </si>
  <si>
    <t>Types: Quantity and UnitPrice are numbers (quantitative). Month, City, Product are text (qualitative). Prices are in Pakistani rupees (Rs).</t>
  </si>
  <si>
    <t>Checks done: no blank cells, no duplicate OrderIDs, spellings of cities and products are consistent, no negative or zero quantities.</t>
  </si>
  <si>
    <t>Privacy: the data has no customer names, phone numbers or addresses.</t>
  </si>
  <si>
    <t>Limit: only 18 orders over three months, so results show a pattern for this period, not a long-term trend.</t>
  </si>
  <si>
    <t>Summary: Craft shop sales, Jul to Sep</t>
  </si>
  <si>
    <t>Key number</t>
  </si>
  <si>
    <t>Value</t>
  </si>
  <si>
    <t>Formula used</t>
  </si>
  <si>
    <t>Number of orders</t>
  </si>
  <si>
    <t>COUNTA</t>
  </si>
  <si>
    <t>Total units sold</t>
  </si>
  <si>
    <t>SUM</t>
  </si>
  <si>
    <t>Total sales (Rs)</t>
  </si>
  <si>
    <t>Average order value (Rs)</t>
  </si>
  <si>
    <t>AVERAGE</t>
  </si>
  <si>
    <t>Highest order (Rs)</t>
  </si>
  <si>
    <t>MAX</t>
  </si>
  <si>
    <t>Lowest order (Rs)</t>
  </si>
  <si>
    <t>MIN</t>
  </si>
  <si>
    <t>Best product by sales</t>
  </si>
  <si>
    <t>INDEX / MATCH / MAX</t>
  </si>
  <si>
    <t>Best city by sales</t>
  </si>
  <si>
    <t>Sales growth, Jul to Sep</t>
  </si>
  <si>
    <t>(Sep - Jul) / Jul</t>
  </si>
  <si>
    <t>Pivot-style table 1: sales by month</t>
  </si>
  <si>
    <t>Orders</t>
  </si>
  <si>
    <t>Units sold</t>
  </si>
  <si>
    <t>Sales (Rs)</t>
  </si>
  <si>
    <t>% of total sales</t>
  </si>
  <si>
    <t>Pivot-style table 2: sales by city</t>
  </si>
  <si>
    <t>Pivot-style table 3: sales by product</t>
  </si>
  <si>
    <t>Note: these tables use COUNTIF/SUMIF. Also build real pivot tables in Google Sheets (Insert &gt; Pivot table) and check they match.</t>
  </si>
  <si>
    <t>Dashboard: How is the craft shop doing?</t>
  </si>
  <si>
    <t>Average order (Rs)</t>
  </si>
  <si>
    <t>Best product</t>
  </si>
  <si>
    <t>Insights</t>
  </si>
  <si>
    <t>Shawls earn Rs 31,500, nearly double the Rs 18,000 of bags or khussa.</t>
  </si>
  <si>
    <t>Handmade Bags sell the most units (12) but at a lower price.</t>
  </si>
  <si>
    <t>Islamabad is the smallest city at Rs 10,100 of Rs 82,900 total.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</si>
</sst>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0.0%"/>
  </numFmts>
  <fonts count="32">
    <font>
      <sz val="11"/>
      <color theme="1"/>
      <name val="Calibri"/>
      <charset val="1"/>
    </font>
    <font>
      <b/>
      <sz val="16"/>
      <name val="Arial"/>
      <charset val="1"/>
    </font>
    <font>
      <b/>
      <sz val="10"/>
      <color rgb="FFFFFFFF"/>
      <name val="Arial"/>
      <charset val="1"/>
    </font>
    <font>
      <b/>
      <sz val="22"/>
      <color rgb="FF1F3A5F"/>
      <name val="Arial"/>
      <charset val="1"/>
    </font>
    <font>
      <b/>
      <sz val="15"/>
      <color rgb="FF1F3A5F"/>
      <name val="Arial"/>
      <charset val="1"/>
    </font>
    <font>
      <b/>
      <sz val="12"/>
      <name val="Arial"/>
      <charset val="1"/>
    </font>
    <font>
      <sz val="11"/>
      <name val="Arial"/>
      <charset val="1"/>
    </font>
    <font>
      <b/>
      <sz val="14"/>
      <name val="Arial"/>
      <charset val="1"/>
    </font>
    <font>
      <b/>
      <sz val="11"/>
      <color rgb="FFFFFFFF"/>
      <name val="Arial"/>
      <charset val="1"/>
    </font>
    <font>
      <b/>
      <sz val="11"/>
      <name val="Arial"/>
      <charset val="1"/>
    </font>
    <font>
      <i/>
      <sz val="11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E8EEF5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1" fillId="0" borderId="0" applyBorder="0" applyAlignment="0" applyProtection="0"/>
    <xf numFmtId="44" fontId="11" fillId="0" borderId="0" applyBorder="0" applyAlignment="0" applyProtection="0"/>
    <xf numFmtId="9" fontId="11" fillId="0" borderId="0" applyBorder="0" applyAlignment="0" applyProtection="0"/>
    <xf numFmtId="41" fontId="11" fillId="0" borderId="0" applyBorder="0" applyAlignment="0" applyProtection="0"/>
    <xf numFmtId="42" fontId="11" fillId="0" borderId="0" applyBorder="0" applyAlignment="0" applyProtection="0"/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6" borderId="6" applyNumberFormat="0" applyAlignment="0" applyProtection="0">
      <alignment vertical="center"/>
    </xf>
    <xf numFmtId="0" fontId="23" fillId="6" borderId="5" applyNumberFormat="0" applyAlignment="0" applyProtection="0">
      <alignment vertical="center"/>
    </xf>
    <xf numFmtId="0" fontId="24" fillId="7" borderId="7" applyNumberFormat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</cellStyleXfs>
  <cellXfs count="23">
    <xf numFmtId="0" fontId="0" fillId="0" borderId="0" xfId="0"/>
    <xf numFmtId="0" fontId="1" fillId="0" borderId="0" xfId="0" applyFont="1"/>
    <xf numFmtId="0" fontId="2" fillId="2" borderId="0" xfId="0" applyFont="1" applyFill="1" applyBorder="1" applyAlignment="1">
      <alignment horizontal="center" vertical="center"/>
    </xf>
    <xf numFmtId="3" fontId="3" fillId="3" borderId="0" xfId="0" applyNumberFormat="1" applyFont="1" applyFill="1" applyBorder="1" applyAlignment="1">
      <alignment horizontal="center" vertical="center"/>
    </xf>
    <xf numFmtId="49" fontId="4" fillId="3" borderId="0" xfId="0" applyNumberFormat="1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/>
    <xf numFmtId="1" fontId="6" fillId="0" borderId="1" xfId="0" applyNumberFormat="1" applyFont="1" applyBorder="1" applyAlignment="1">
      <alignment horizontal="right"/>
    </xf>
    <xf numFmtId="3" fontId="6" fillId="0" borderId="1" xfId="0" applyNumberFormat="1" applyFont="1" applyBorder="1" applyAlignment="1">
      <alignment horizontal="right"/>
    </xf>
    <xf numFmtId="4" fontId="6" fillId="0" borderId="1" xfId="0" applyNumberFormat="1" applyFont="1" applyBorder="1" applyAlignment="1">
      <alignment horizontal="right"/>
    </xf>
    <xf numFmtId="49" fontId="6" fillId="0" borderId="1" xfId="0" applyNumberFormat="1" applyFont="1" applyBorder="1" applyAlignment="1">
      <alignment horizontal="right"/>
    </xf>
    <xf numFmtId="176" fontId="6" fillId="0" borderId="1" xfId="0" applyNumberFormat="1" applyFont="1" applyBorder="1" applyAlignment="1">
      <alignment horizontal="right"/>
    </xf>
    <xf numFmtId="3" fontId="6" fillId="0" borderId="1" xfId="0" applyNumberFormat="1" applyFont="1" applyBorder="1"/>
    <xf numFmtId="176" fontId="6" fillId="0" borderId="1" xfId="0" applyNumberFormat="1" applyFont="1" applyBorder="1"/>
    <xf numFmtId="0" fontId="9" fillId="0" borderId="1" xfId="0" applyFont="1" applyBorder="1"/>
    <xf numFmtId="3" fontId="9" fillId="0" borderId="1" xfId="0" applyNumberFormat="1" applyFont="1" applyBorder="1"/>
    <xf numFmtId="176" fontId="9" fillId="0" borderId="1" xfId="0" applyNumberFormat="1" applyFont="1" applyBorder="1"/>
    <xf numFmtId="0" fontId="10" fillId="0" borderId="0" xfId="0" applyFont="1"/>
    <xf numFmtId="0" fontId="7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BBBBB"/>
      <rgbColor rgb="00878787"/>
      <rgbColor rgb="009999FF"/>
      <rgbColor rgb="00C0504D"/>
      <rgbColor rgb="00FFFFCC"/>
      <rgbColor rgb="00E8EEF5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2E75B6"/>
      <rgbColor rgb="0033CCCC"/>
      <rgbColor rgb="009BBB59"/>
      <rgbColor rgb="00FFCC00"/>
      <rgbColor rgb="00FF9900"/>
      <rgbColor rgb="00ED7D31"/>
      <rgbColor rgb="008064A2"/>
      <rgbColor rgb="00969696"/>
      <rgbColor rgb="001F3A5F"/>
      <rgbColor rgb="004F81BD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 panose="020F0502020204030204"/>
              </a:rPr>
              <a:t>Embroidered Shawls bring in the most money (Rs 31,500)</a:t>
            </a:r>
            <a:endParaRPr sz="1800" b="1" strike="noStrike" spc="-1">
              <a:solidFill>
                <a:srgbClr val="000000"/>
              </a:solidFill>
              <a:latin typeface="Calibri" panose="020F0502020204030204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Summary!$D$33</c:f>
              <c:strCache>
                <c:ptCount val="1"/>
                <c:pt idx="0">
                  <c:v>Sales (Rs)</c:v>
                </c:pt>
              </c:strCache>
            </c:strRef>
          </c:tx>
          <c:spPr>
            <a:solidFill>
              <a:srgbClr val="2E75B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Summary!$A$34:$A$37</c:f>
              <c:strCache>
                <c:ptCount val="4"/>
                <c:pt idx="0">
                  <c:v>Embroidered Shawl</c:v>
                </c:pt>
                <c:pt idx="1">
                  <c:v>Handmade Bag</c:v>
                </c:pt>
                <c:pt idx="2">
                  <c:v>Khussa</c:v>
                </c:pt>
                <c:pt idx="3">
                  <c:v>Blue Pottery Vase</c:v>
                </c:pt>
              </c:strCache>
            </c:strRef>
          </c:cat>
          <c:val>
            <c:numRef>
              <c:f>Summary!$D$34:$D$37</c:f>
              <c:numCache>
                <c:formatCode>#,##0</c:formatCode>
                <c:ptCount val="4"/>
                <c:pt idx="0">
                  <c:v>31500</c:v>
                </c:pt>
                <c:pt idx="1">
                  <c:v>18000</c:v>
                </c:pt>
                <c:pt idx="2">
                  <c:v>18000</c:v>
                </c:pt>
                <c:pt idx="3">
                  <c:v>15400</c:v>
                </c:pt>
              </c:numCache>
            </c:numRef>
          </c:val>
        </c:ser>
        <c:dLbls>
          <c:showLegendKey val="1"/>
          <c:showVal val="1"/>
          <c:showCatName val="1"/>
          <c:showSerName val="1"/>
          <c:showPercent val="0"/>
          <c:showBubbleSize val="1"/>
        </c:dLbls>
        <c:gapWidth val="150"/>
        <c:overlap val="0"/>
        <c:axId val="51735625"/>
        <c:axId val="41186626"/>
      </c:barChart>
      <c:catAx>
        <c:axId val="51735625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spc="-1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 panose="020F0502020204030204"/>
                  </a:rPr>
                  <a:t>Product</a:t>
                </a:r>
                <a:endParaRPr sz="1000" b="1" strike="noStrike" spc="-1">
                  <a:solidFill>
                    <a:srgbClr val="000000"/>
                  </a:solidFill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41186626"/>
        <c:crosses val="autoZero"/>
        <c:auto val="1"/>
        <c:lblAlgn val="ctr"/>
        <c:lblOffset val="100"/>
        <c:noMultiLvlLbl val="0"/>
      </c:catAx>
      <c:valAx>
        <c:axId val="41186626"/>
        <c:scaling>
          <c:orientation val="minMax"/>
          <c:min val="0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spc="-1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 panose="020F0502020204030204"/>
                  </a:rPr>
                  <a:t>Sales (Rs)</a:t>
                </a:r>
                <a:endParaRPr sz="1000" b="1" strike="noStrike" spc="-1">
                  <a:solidFill>
                    <a:srgbClr val="000000"/>
                  </a:solidFill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5173562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0"/>
    <c:extLst>
      <c:ext uri="{0b15fc19-7d7d-44ad-8c2d-2c3a37ce22c3}">
        <chartProps xmlns="https://web.wps.cn/et/2018/main" chartId="{681d49e0-ddf8-4c28-a58f-60330a4dcb43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 panose="020F0502020204030204"/>
              </a:rPr>
              <a:t>Sales grew every month: Rs 22,300 to Rs 31,500</a:t>
            </a:r>
            <a:endParaRPr sz="1800" b="1" strike="noStrike" spc="-1">
              <a:solidFill>
                <a:srgbClr val="000000"/>
              </a:solidFill>
              <a:latin typeface="Calibri" panose="020F0502020204030204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Summary!$D$16</c:f>
              <c:strCache>
                <c:ptCount val="1"/>
                <c:pt idx="0">
                  <c:v>Sales (Rs)</c:v>
                </c:pt>
              </c:strCache>
            </c:strRef>
          </c:tx>
          <c:spPr>
            <a:ln w="28440" cap="rnd" cmpd="sng" algn="ctr">
              <a:solidFill>
                <a:srgbClr val="ED7D3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rgbClr val="ED7D3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</a:p>
            </c:txPr>
            <c:dLblPos val="t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Summary!$A$17:$A$19</c:f>
              <c:strCache>
                <c:ptCount val="3"/>
                <c:pt idx="0">
                  <c:v>Jul</c:v>
                </c:pt>
                <c:pt idx="1">
                  <c:v>Aug</c:v>
                </c:pt>
                <c:pt idx="2">
                  <c:v>Sep</c:v>
                </c:pt>
              </c:strCache>
            </c:strRef>
          </c:cat>
          <c:val>
            <c:numRef>
              <c:f>Summary!$D$17:$D$19</c:f>
              <c:numCache>
                <c:formatCode>#,##0</c:formatCode>
                <c:ptCount val="3"/>
                <c:pt idx="0">
                  <c:v>22300</c:v>
                </c:pt>
                <c:pt idx="1">
                  <c:v>29100</c:v>
                </c:pt>
                <c:pt idx="2">
                  <c:v>31500</c:v>
                </c:pt>
              </c:numCache>
            </c:numRef>
          </c:val>
          <c:smooth val="1"/>
        </c:ser>
        <c:dLbls>
          <c:showLegendKey val="1"/>
          <c:showVal val="1"/>
          <c:showCatName val="1"/>
          <c:showSerName val="1"/>
          <c:showPercent val="0"/>
          <c:showBubbleSize val="1"/>
        </c:dLbls>
        <c:hiLowLines>
          <c:spPr>
            <a:ln w="0" cap="flat" cmpd="sng" algn="ctr">
              <a:noFill/>
              <a:prstDash val="solid"/>
              <a:round/>
            </a:ln>
          </c:spPr>
        </c:hiLowLines>
        <c:marker val="1"/>
        <c:smooth val="1"/>
        <c:axId val="1165267"/>
        <c:axId val="57829278"/>
      </c:lineChart>
      <c:catAx>
        <c:axId val="1165267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spc="-1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 panose="020F0502020204030204"/>
                  </a:rPr>
                  <a:t>Month</a:t>
                </a:r>
                <a:endParaRPr sz="1000" b="1" strike="noStrike" spc="-1">
                  <a:solidFill>
                    <a:srgbClr val="000000"/>
                  </a:solidFill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57829278"/>
        <c:crosses val="autoZero"/>
        <c:auto val="1"/>
        <c:lblAlgn val="ctr"/>
        <c:lblOffset val="100"/>
        <c:noMultiLvlLbl val="0"/>
      </c:catAx>
      <c:valAx>
        <c:axId val="57829278"/>
        <c:scaling>
          <c:orientation val="minMax"/>
          <c:min val="0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spc="-1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 panose="020F0502020204030204"/>
                  </a:rPr>
                  <a:t>Sales (Rs)</a:t>
                </a:r>
                <a:endParaRPr sz="1000" b="1" strike="noStrike" spc="-1">
                  <a:solidFill>
                    <a:srgbClr val="000000"/>
                  </a:solidFill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116526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0"/>
    <c:extLst>
      <c:ext uri="{0b15fc19-7d7d-44ad-8c2d-2c3a37ce22c3}">
        <chartProps xmlns="https://web.wps.cn/et/2018/main" chartId="{9e6964c9-f449-4291-a772-4491051b6869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 panose="020F0502020204030204"/>
              </a:rPr>
              <a:t>Lahore brings in a third of all sales (33%)</a:t>
            </a:r>
            <a:endParaRPr sz="1800" b="1" strike="noStrike" spc="-1">
              <a:solidFill>
                <a:srgbClr val="000000"/>
              </a:solidFill>
              <a:latin typeface="Calibri" panose="020F0502020204030204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bubble3D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</c:dPt>
          <c:dLbls>
            <c:dLbl>
              <c:idx val="0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spc="-1" baseline="0">
                      <a:solidFill>
                        <a:srgbClr val="000000"/>
                      </a:solidFill>
                      <a:latin typeface="Calibri" panose="020F0502020204030204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spc="-1" baseline="0">
                      <a:solidFill>
                        <a:srgbClr val="000000"/>
                      </a:solidFill>
                      <a:latin typeface="Calibri" panose="020F0502020204030204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spc="-1" baseline="0">
                      <a:solidFill>
                        <a:srgbClr val="000000"/>
                      </a:solidFill>
                      <a:latin typeface="Calibri" panose="020F0502020204030204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spc="-1" baseline="0">
                      <a:solidFill>
                        <a:srgbClr val="000000"/>
                      </a:solidFill>
                      <a:latin typeface="Calibri" panose="020F0502020204030204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separator>
</c:separator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</a:p>
            </c:txPr>
            <c:dLblPos val="bestFit"/>
            <c:showLegendKey val="1"/>
            <c:showVal val="0"/>
            <c:showCatName val="1"/>
            <c:showSerName val="1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Summary!$A$25:$A$28</c:f>
              <c:strCache>
                <c:ptCount val="4"/>
                <c:pt idx="0">
                  <c:v>Lahore</c:v>
                </c:pt>
                <c:pt idx="1">
                  <c:v>Multan</c:v>
                </c:pt>
                <c:pt idx="2">
                  <c:v>Karachi</c:v>
                </c:pt>
                <c:pt idx="3">
                  <c:v>Islamabad</c:v>
                </c:pt>
              </c:strCache>
            </c:strRef>
          </c:cat>
          <c:val>
            <c:numRef>
              <c:f>Summary!$D$25:$D$28</c:f>
              <c:numCache>
                <c:formatCode>#,##0</c:formatCode>
                <c:ptCount val="4"/>
                <c:pt idx="0">
                  <c:v>27300</c:v>
                </c:pt>
                <c:pt idx="1">
                  <c:v>22900</c:v>
                </c:pt>
                <c:pt idx="2">
                  <c:v>22600</c:v>
                </c:pt>
                <c:pt idx="3">
                  <c:v>10100</c:v>
                </c:pt>
              </c:numCache>
            </c:numRef>
          </c:val>
        </c:ser>
        <c:dLbls>
          <c:showLegendKey val="1"/>
          <c:showVal val="0"/>
          <c:showCatName val="1"/>
          <c:showSerName val="1"/>
          <c:showPercent val="1"/>
          <c:showBubbleSize val="1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b"/>
      <c:layout/>
      <c:overlay val="0"/>
      <c:spPr>
        <a:noFill/>
        <a:ln w="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spc="-1" baseline="0">
              <a:solidFill>
                <a:srgbClr val="000000"/>
              </a:solidFill>
              <a:latin typeface="Calibri" panose="020F0502020204030204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8a8a939-55d2-4c51-b8e5-8a81ad040ee4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4</xdr:row>
      <xdr:rowOff>131040</xdr:rowOff>
    </xdr:from>
    <xdr:to>
      <xdr:col>6</xdr:col>
      <xdr:colOff>684720</xdr:colOff>
      <xdr:row>20</xdr:row>
      <xdr:rowOff>142560</xdr:rowOff>
    </xdr:to>
    <xdr:graphicFrame>
      <xdr:nvGraphicFramePr>
        <xdr:cNvPr id="2" name="Chart 1"/>
        <xdr:cNvGraphicFramePr/>
      </xdr:nvGraphicFramePr>
      <xdr:xfrm>
        <a:off x="0" y="1210310"/>
        <a:ext cx="5713730" cy="29578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4</xdr:row>
      <xdr:rowOff>131040</xdr:rowOff>
    </xdr:from>
    <xdr:to>
      <xdr:col>13</xdr:col>
      <xdr:colOff>73080</xdr:colOff>
      <xdr:row>20</xdr:row>
      <xdr:rowOff>142560</xdr:rowOff>
    </xdr:to>
    <xdr:graphicFrame>
      <xdr:nvGraphicFramePr>
        <xdr:cNvPr id="3" name="Chart 2"/>
        <xdr:cNvGraphicFramePr/>
      </xdr:nvGraphicFramePr>
      <xdr:xfrm>
        <a:off x="5029200" y="1210310"/>
        <a:ext cx="5708650" cy="29578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22</xdr:row>
      <xdr:rowOff>131040</xdr:rowOff>
    </xdr:from>
    <xdr:to>
      <xdr:col>6</xdr:col>
      <xdr:colOff>684720</xdr:colOff>
      <xdr:row>38</xdr:row>
      <xdr:rowOff>142560</xdr:rowOff>
    </xdr:to>
    <xdr:graphicFrame>
      <xdr:nvGraphicFramePr>
        <xdr:cNvPr id="4" name="Chart 3"/>
        <xdr:cNvGraphicFramePr/>
      </xdr:nvGraphicFramePr>
      <xdr:xfrm>
        <a:off x="0" y="4525010"/>
        <a:ext cx="5713730" cy="29705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8.68181818181818" defaultRowHeight="14.5" outlineLevelCol="6"/>
  <cols>
    <col min="1" max="2" width="10" customWidth="1"/>
    <col min="3" max="3" width="12" customWidth="1"/>
    <col min="4" max="4" width="22" customWidth="1"/>
    <col min="5" max="5" width="10" customWidth="1"/>
    <col min="6" max="7" width="12" customWidth="1"/>
  </cols>
  <sheetData>
    <row r="1" ht="25.5" customHeight="1" spans="1:7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</row>
    <row r="2" spans="1:7">
      <c r="A2" s="9" t="s">
        <v>7</v>
      </c>
      <c r="B2" s="9" t="s">
        <v>8</v>
      </c>
      <c r="C2" s="9" t="s">
        <v>9</v>
      </c>
      <c r="D2" s="9" t="s">
        <v>10</v>
      </c>
      <c r="E2" s="9">
        <v>2</v>
      </c>
      <c r="F2" s="15">
        <v>3500</v>
      </c>
      <c r="G2" s="15">
        <f t="shared" ref="G2:G19" si="0">E2*F2</f>
        <v>7000</v>
      </c>
    </row>
    <row r="3" spans="1:7">
      <c r="A3" s="9" t="s">
        <v>11</v>
      </c>
      <c r="B3" s="9" t="s">
        <v>8</v>
      </c>
      <c r="C3" s="9" t="s">
        <v>12</v>
      </c>
      <c r="D3" s="9" t="s">
        <v>13</v>
      </c>
      <c r="E3" s="9">
        <v>1</v>
      </c>
      <c r="F3" s="15">
        <v>2200</v>
      </c>
      <c r="G3" s="15">
        <f t="shared" si="0"/>
        <v>2200</v>
      </c>
    </row>
    <row r="4" spans="1:7">
      <c r="A4" s="9" t="s">
        <v>14</v>
      </c>
      <c r="B4" s="9" t="s">
        <v>8</v>
      </c>
      <c r="C4" s="9" t="s">
        <v>15</v>
      </c>
      <c r="D4" s="9" t="s">
        <v>16</v>
      </c>
      <c r="E4" s="9">
        <v>3</v>
      </c>
      <c r="F4" s="15">
        <v>1500</v>
      </c>
      <c r="G4" s="15">
        <f t="shared" si="0"/>
        <v>4500</v>
      </c>
    </row>
    <row r="5" spans="1:7">
      <c r="A5" s="9" t="s">
        <v>17</v>
      </c>
      <c r="B5" s="9" t="s">
        <v>8</v>
      </c>
      <c r="C5" s="9" t="s">
        <v>18</v>
      </c>
      <c r="D5" s="9" t="s">
        <v>19</v>
      </c>
      <c r="E5" s="9">
        <v>2</v>
      </c>
      <c r="F5" s="15">
        <v>1800</v>
      </c>
      <c r="G5" s="15">
        <f t="shared" si="0"/>
        <v>3600</v>
      </c>
    </row>
    <row r="6" spans="1:7">
      <c r="A6" s="9" t="s">
        <v>20</v>
      </c>
      <c r="B6" s="9" t="s">
        <v>8</v>
      </c>
      <c r="C6" s="9" t="s">
        <v>9</v>
      </c>
      <c r="D6" s="9" t="s">
        <v>16</v>
      </c>
      <c r="E6" s="9">
        <v>1</v>
      </c>
      <c r="F6" s="15">
        <v>1500</v>
      </c>
      <c r="G6" s="15">
        <f t="shared" si="0"/>
        <v>1500</v>
      </c>
    </row>
    <row r="7" spans="1:7">
      <c r="A7" s="9" t="s">
        <v>21</v>
      </c>
      <c r="B7" s="9" t="s">
        <v>8</v>
      </c>
      <c r="C7" s="9" t="s">
        <v>12</v>
      </c>
      <c r="D7" s="9" t="s">
        <v>10</v>
      </c>
      <c r="E7" s="9">
        <v>1</v>
      </c>
      <c r="F7" s="15">
        <v>3500</v>
      </c>
      <c r="G7" s="15">
        <f t="shared" si="0"/>
        <v>3500</v>
      </c>
    </row>
    <row r="8" spans="1:7">
      <c r="A8" s="9" t="s">
        <v>22</v>
      </c>
      <c r="B8" s="9" t="s">
        <v>23</v>
      </c>
      <c r="C8" s="9" t="s">
        <v>9</v>
      </c>
      <c r="D8" s="9" t="s">
        <v>13</v>
      </c>
      <c r="E8" s="9">
        <v>2</v>
      </c>
      <c r="F8" s="15">
        <v>2200</v>
      </c>
      <c r="G8" s="15">
        <f t="shared" si="0"/>
        <v>4400</v>
      </c>
    </row>
    <row r="9" spans="1:7">
      <c r="A9" s="9" t="s">
        <v>24</v>
      </c>
      <c r="B9" s="9" t="s">
        <v>23</v>
      </c>
      <c r="C9" s="9" t="s">
        <v>15</v>
      </c>
      <c r="D9" s="9" t="s">
        <v>10</v>
      </c>
      <c r="E9" s="9">
        <v>3</v>
      </c>
      <c r="F9" s="15">
        <v>3500</v>
      </c>
      <c r="G9" s="15">
        <f t="shared" si="0"/>
        <v>10500</v>
      </c>
    </row>
    <row r="10" spans="1:7">
      <c r="A10" s="9" t="s">
        <v>25</v>
      </c>
      <c r="B10" s="9" t="s">
        <v>23</v>
      </c>
      <c r="C10" s="9" t="s">
        <v>12</v>
      </c>
      <c r="D10" s="9" t="s">
        <v>19</v>
      </c>
      <c r="E10" s="9">
        <v>4</v>
      </c>
      <c r="F10" s="15">
        <v>1800</v>
      </c>
      <c r="G10" s="15">
        <f t="shared" si="0"/>
        <v>7200</v>
      </c>
    </row>
    <row r="11" spans="1:7">
      <c r="A11" s="9" t="s">
        <v>26</v>
      </c>
      <c r="B11" s="9" t="s">
        <v>23</v>
      </c>
      <c r="C11" s="9" t="s">
        <v>18</v>
      </c>
      <c r="D11" s="9" t="s">
        <v>16</v>
      </c>
      <c r="E11" s="9">
        <v>2</v>
      </c>
      <c r="F11" s="15">
        <v>1500</v>
      </c>
      <c r="G11" s="15">
        <f t="shared" si="0"/>
        <v>3000</v>
      </c>
    </row>
    <row r="12" spans="1:7">
      <c r="A12" s="9" t="s">
        <v>27</v>
      </c>
      <c r="B12" s="9" t="s">
        <v>23</v>
      </c>
      <c r="C12" s="9" t="s">
        <v>9</v>
      </c>
      <c r="D12" s="9" t="s">
        <v>19</v>
      </c>
      <c r="E12" s="9">
        <v>1</v>
      </c>
      <c r="F12" s="15">
        <v>1800</v>
      </c>
      <c r="G12" s="15">
        <f t="shared" si="0"/>
        <v>1800</v>
      </c>
    </row>
    <row r="13" spans="1:7">
      <c r="A13" s="9" t="s">
        <v>28</v>
      </c>
      <c r="B13" s="9" t="s">
        <v>23</v>
      </c>
      <c r="C13" s="9" t="s">
        <v>15</v>
      </c>
      <c r="D13" s="9" t="s">
        <v>13</v>
      </c>
      <c r="E13" s="9">
        <v>1</v>
      </c>
      <c r="F13" s="15">
        <v>2200</v>
      </c>
      <c r="G13" s="15">
        <f t="shared" si="0"/>
        <v>2200</v>
      </c>
    </row>
    <row r="14" spans="1:7">
      <c r="A14" s="9" t="s">
        <v>29</v>
      </c>
      <c r="B14" s="9" t="s">
        <v>30</v>
      </c>
      <c r="C14" s="9" t="s">
        <v>12</v>
      </c>
      <c r="D14" s="9" t="s">
        <v>10</v>
      </c>
      <c r="E14" s="9">
        <v>2</v>
      </c>
      <c r="F14" s="15">
        <v>3500</v>
      </c>
      <c r="G14" s="15">
        <f t="shared" si="0"/>
        <v>7000</v>
      </c>
    </row>
    <row r="15" spans="1:7">
      <c r="A15" s="9" t="s">
        <v>31</v>
      </c>
      <c r="B15" s="9" t="s">
        <v>30</v>
      </c>
      <c r="C15" s="9" t="s">
        <v>9</v>
      </c>
      <c r="D15" s="9" t="s">
        <v>16</v>
      </c>
      <c r="E15" s="9">
        <v>4</v>
      </c>
      <c r="F15" s="15">
        <v>1500</v>
      </c>
      <c r="G15" s="15">
        <f t="shared" si="0"/>
        <v>6000</v>
      </c>
    </row>
    <row r="16" spans="1:7">
      <c r="A16" s="9" t="s">
        <v>32</v>
      </c>
      <c r="B16" s="9" t="s">
        <v>30</v>
      </c>
      <c r="C16" s="9" t="s">
        <v>15</v>
      </c>
      <c r="D16" s="9" t="s">
        <v>19</v>
      </c>
      <c r="E16" s="9">
        <v>3</v>
      </c>
      <c r="F16" s="15">
        <v>1800</v>
      </c>
      <c r="G16" s="15">
        <f t="shared" si="0"/>
        <v>5400</v>
      </c>
    </row>
    <row r="17" spans="1:7">
      <c r="A17" s="9" t="s">
        <v>33</v>
      </c>
      <c r="B17" s="9" t="s">
        <v>30</v>
      </c>
      <c r="C17" s="9" t="s">
        <v>18</v>
      </c>
      <c r="D17" s="9" t="s">
        <v>10</v>
      </c>
      <c r="E17" s="9">
        <v>1</v>
      </c>
      <c r="F17" s="15">
        <v>3500</v>
      </c>
      <c r="G17" s="15">
        <f t="shared" si="0"/>
        <v>3500</v>
      </c>
    </row>
    <row r="18" spans="1:7">
      <c r="A18" s="9" t="s">
        <v>34</v>
      </c>
      <c r="B18" s="9" t="s">
        <v>30</v>
      </c>
      <c r="C18" s="9" t="s">
        <v>12</v>
      </c>
      <c r="D18" s="9" t="s">
        <v>16</v>
      </c>
      <c r="E18" s="9">
        <v>2</v>
      </c>
      <c r="F18" s="15">
        <v>1500</v>
      </c>
      <c r="G18" s="15">
        <f t="shared" si="0"/>
        <v>3000</v>
      </c>
    </row>
    <row r="19" spans="1:7">
      <c r="A19" s="9" t="s">
        <v>35</v>
      </c>
      <c r="B19" s="9" t="s">
        <v>30</v>
      </c>
      <c r="C19" s="9" t="s">
        <v>9</v>
      </c>
      <c r="D19" s="9" t="s">
        <v>13</v>
      </c>
      <c r="E19" s="9">
        <v>3</v>
      </c>
      <c r="F19" s="15">
        <v>2200</v>
      </c>
      <c r="G19" s="15">
        <f t="shared" si="0"/>
        <v>6600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7"/>
  <sheetViews>
    <sheetView workbookViewId="0">
      <selection activeCell="A1" sqref="A1"/>
    </sheetView>
  </sheetViews>
  <sheetFormatPr defaultColWidth="8.68181818181818" defaultRowHeight="14.5" outlineLevelRow="6"/>
  <cols>
    <col min="1" max="1" width="110" customWidth="1"/>
  </cols>
  <sheetData>
    <row r="1" ht="18" spans="1:1">
      <c r="A1" s="21" t="s">
        <v>36</v>
      </c>
    </row>
    <row r="2" ht="28" spans="1:1">
      <c r="A2" s="22" t="s">
        <v>37</v>
      </c>
    </row>
    <row r="3" spans="1:1">
      <c r="A3" s="22" t="s">
        <v>38</v>
      </c>
    </row>
    <row r="4" ht="28" spans="1:1">
      <c r="A4" s="22" t="s">
        <v>39</v>
      </c>
    </row>
    <row r="5" ht="28" spans="1:1">
      <c r="A5" s="22" t="s">
        <v>40</v>
      </c>
    </row>
    <row r="6" spans="1:1">
      <c r="A6" s="22" t="s">
        <v>41</v>
      </c>
    </row>
    <row r="7" spans="1:1">
      <c r="A7" s="22" t="s">
        <v>42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1"/>
  <sheetViews>
    <sheetView workbookViewId="0">
      <selection activeCell="A1" sqref="A1"/>
    </sheetView>
  </sheetViews>
  <sheetFormatPr defaultColWidth="8.68181818181818" defaultRowHeight="14.5" outlineLevelCol="4"/>
  <cols>
    <col min="1" max="1" width="30" customWidth="1"/>
    <col min="2" max="2" width="16" customWidth="1"/>
    <col min="3" max="3" width="22" customWidth="1"/>
    <col min="4" max="4" width="16" customWidth="1"/>
    <col min="5" max="5" width="18" customWidth="1"/>
  </cols>
  <sheetData>
    <row r="1" ht="18" spans="1:5">
      <c r="A1" s="7" t="s">
        <v>43</v>
      </c>
    </row>
    <row r="3" spans="1:5">
      <c r="A3" s="8" t="s">
        <v>44</v>
      </c>
      <c r="B3" s="8" t="s">
        <v>45</v>
      </c>
      <c r="C3" s="8" t="s">
        <v>46</v>
      </c>
    </row>
    <row r="4" spans="1:5">
      <c r="A4" s="9" t="s">
        <v>47</v>
      </c>
      <c r="B4" s="10">
        <f>COUNTA(Data!$A$2:$A$19)</f>
        <v>18</v>
      </c>
      <c r="C4" s="9" t="s">
        <v>48</v>
      </c>
    </row>
    <row r="5" spans="1:5">
      <c r="A5" s="9" t="s">
        <v>49</v>
      </c>
      <c r="B5" s="10">
        <f>SUM(Data!$E$2:$E$19)</f>
        <v>38</v>
      </c>
      <c r="C5" s="9" t="s">
        <v>50</v>
      </c>
    </row>
    <row r="6" spans="1:5">
      <c r="A6" s="9" t="s">
        <v>51</v>
      </c>
      <c r="B6" s="11">
        <f>SUM(Data!$G$2:$G$19)</f>
        <v>82900</v>
      </c>
      <c r="C6" s="9" t="s">
        <v>50</v>
      </c>
    </row>
    <row r="7" spans="1:5">
      <c r="A7" s="9" t="s">
        <v>52</v>
      </c>
      <c r="B7" s="12">
        <f>AVERAGE(Data!$G$2:$G$19)</f>
        <v>4605.55555555556</v>
      </c>
      <c r="C7" s="9" t="s">
        <v>53</v>
      </c>
    </row>
    <row r="8" spans="1:5">
      <c r="A8" s="9" t="s">
        <v>54</v>
      </c>
      <c r="B8" s="11">
        <f>MAX(Data!$G$2:$G$19)</f>
        <v>10500</v>
      </c>
      <c r="C8" s="9" t="s">
        <v>55</v>
      </c>
    </row>
    <row r="9" spans="1:5">
      <c r="A9" s="9" t="s">
        <v>56</v>
      </c>
      <c r="B9" s="11">
        <f>MIN(Data!$G$2:$G$19)</f>
        <v>1500</v>
      </c>
      <c r="C9" s="9" t="s">
        <v>57</v>
      </c>
    </row>
    <row r="10" spans="1:5">
      <c r="A10" s="9" t="s">
        <v>58</v>
      </c>
      <c r="B10" s="13" t="str">
        <f>INDEX(A34:A37,MATCH(MAX(D34:D37),D34:D37,0))</f>
        <v>Embroidered Shawl</v>
      </c>
      <c r="C10" s="9" t="s">
        <v>59</v>
      </c>
    </row>
    <row r="11" spans="1:5">
      <c r="A11" s="9" t="s">
        <v>60</v>
      </c>
      <c r="B11" s="13" t="str">
        <f>INDEX(A25:A28,MATCH(MAX(D25:D28),D25:D28,0))</f>
        <v>Lahore</v>
      </c>
      <c r="C11" s="9" t="s">
        <v>59</v>
      </c>
    </row>
    <row r="12" spans="1:5">
      <c r="A12" s="9" t="s">
        <v>61</v>
      </c>
      <c r="B12" s="14">
        <f>(D19-D17)/D17</f>
        <v>0.412556053811659</v>
      </c>
      <c r="C12" s="9" t="s">
        <v>62</v>
      </c>
    </row>
    <row r="15" ht="15.5" spans="1:5">
      <c r="A15" s="5" t="s">
        <v>63</v>
      </c>
    </row>
    <row r="16" spans="1:5">
      <c r="A16" s="8" t="s">
        <v>1</v>
      </c>
      <c r="B16" s="8" t="s">
        <v>64</v>
      </c>
      <c r="C16" s="8" t="s">
        <v>65</v>
      </c>
      <c r="D16" s="8" t="s">
        <v>66</v>
      </c>
      <c r="E16" s="8" t="s">
        <v>67</v>
      </c>
    </row>
    <row r="17" spans="1:5">
      <c r="A17" s="9" t="s">
        <v>8</v>
      </c>
      <c r="B17" s="9">
        <f>COUNTIF(Data!$B$2:$B$19,A17)</f>
        <v>6</v>
      </c>
      <c r="C17" s="9">
        <f>SUMIF(Data!$B$2:$B$19,A17,Data!$E$2:$E$19)</f>
        <v>10</v>
      </c>
      <c r="D17" s="15">
        <f>SUMIF(Data!$B$2:$B$19,A17,Data!$G$2:$G$19)</f>
        <v>22300</v>
      </c>
      <c r="E17" s="16">
        <f>D17/D$20</f>
        <v>0.268998793727382</v>
      </c>
    </row>
    <row r="18" spans="1:5">
      <c r="A18" s="9" t="s">
        <v>23</v>
      </c>
      <c r="B18" s="9">
        <f>COUNTIF(Data!$B$2:$B$19,A18)</f>
        <v>6</v>
      </c>
      <c r="C18" s="9">
        <f>SUMIF(Data!$B$2:$B$19,A18,Data!$E$2:$E$19)</f>
        <v>13</v>
      </c>
      <c r="D18" s="15">
        <f>SUMIF(Data!$B$2:$B$19,A18,Data!$G$2:$G$19)</f>
        <v>29100</v>
      </c>
      <c r="E18" s="16">
        <f>D18/D$20</f>
        <v>0.35102533172497</v>
      </c>
    </row>
    <row r="19" spans="1:5">
      <c r="A19" s="9" t="s">
        <v>30</v>
      </c>
      <c r="B19" s="9">
        <f>COUNTIF(Data!$B$2:$B$19,A19)</f>
        <v>6</v>
      </c>
      <c r="C19" s="9">
        <f>SUMIF(Data!$B$2:$B$19,A19,Data!$E$2:$E$19)</f>
        <v>15</v>
      </c>
      <c r="D19" s="15">
        <f>SUMIF(Data!$B$2:$B$19,A19,Data!$G$2:$G$19)</f>
        <v>31500</v>
      </c>
      <c r="E19" s="16">
        <f>D19/D$20</f>
        <v>0.379975874547648</v>
      </c>
    </row>
    <row r="20" spans="1:5">
      <c r="A20" s="17" t="s">
        <v>6</v>
      </c>
      <c r="B20" s="17">
        <f>SUM(B17:B19)</f>
        <v>18</v>
      </c>
      <c r="C20" s="17">
        <f>SUM(C17:C19)</f>
        <v>38</v>
      </c>
      <c r="D20" s="18">
        <f>SUM(D17:D19)</f>
        <v>82900</v>
      </c>
      <c r="E20" s="19">
        <f>D20/D20</f>
        <v>1</v>
      </c>
    </row>
    <row r="23" ht="15.5" spans="1:5">
      <c r="A23" s="5" t="s">
        <v>68</v>
      </c>
    </row>
    <row r="24" spans="1:5">
      <c r="A24" s="8" t="s">
        <v>2</v>
      </c>
      <c r="B24" s="8" t="s">
        <v>64</v>
      </c>
      <c r="C24" s="8" t="s">
        <v>65</v>
      </c>
      <c r="D24" s="8" t="s">
        <v>66</v>
      </c>
      <c r="E24" s="8" t="s">
        <v>67</v>
      </c>
    </row>
    <row r="25" spans="1:5">
      <c r="A25" s="9" t="s">
        <v>9</v>
      </c>
      <c r="B25" s="9">
        <f>COUNTIF(Data!$C$2:$C$19,A25)</f>
        <v>6</v>
      </c>
      <c r="C25" s="9">
        <f>SUMIF(Data!$C$2:$C$19,A25,Data!$E$2:$E$19)</f>
        <v>13</v>
      </c>
      <c r="D25" s="15">
        <f>SUMIF(Data!$C$2:$C$19,A25,Data!$G$2:$G$19)</f>
        <v>27300</v>
      </c>
      <c r="E25" s="16">
        <f>D25/D$29</f>
        <v>0.329312424607961</v>
      </c>
    </row>
    <row r="26" spans="1:5">
      <c r="A26" s="9" t="s">
        <v>12</v>
      </c>
      <c r="B26" s="9">
        <f>COUNTIF(Data!$C$2:$C$19,A26)</f>
        <v>5</v>
      </c>
      <c r="C26" s="9">
        <f>SUMIF(Data!$C$2:$C$19,A26,Data!$E$2:$E$19)</f>
        <v>10</v>
      </c>
      <c r="D26" s="15">
        <f>SUMIF(Data!$C$2:$C$19,A26,Data!$G$2:$G$19)</f>
        <v>22900</v>
      </c>
      <c r="E26" s="16">
        <f>D26/D$29</f>
        <v>0.276236429433052</v>
      </c>
    </row>
    <row r="27" spans="1:5">
      <c r="A27" s="9" t="s">
        <v>15</v>
      </c>
      <c r="B27" s="9">
        <f>COUNTIF(Data!$C$2:$C$19,A27)</f>
        <v>4</v>
      </c>
      <c r="C27" s="9">
        <f>SUMIF(Data!$C$2:$C$19,A27,Data!$E$2:$E$19)</f>
        <v>10</v>
      </c>
      <c r="D27" s="15">
        <f>SUMIF(Data!$C$2:$C$19,A27,Data!$G$2:$G$19)</f>
        <v>22600</v>
      </c>
      <c r="E27" s="16">
        <f>D27/D$29</f>
        <v>0.272617611580217</v>
      </c>
    </row>
    <row r="28" spans="1:5">
      <c r="A28" s="9" t="s">
        <v>18</v>
      </c>
      <c r="B28" s="9">
        <f>COUNTIF(Data!$C$2:$C$19,A28)</f>
        <v>3</v>
      </c>
      <c r="C28" s="9">
        <f>SUMIF(Data!$C$2:$C$19,A28,Data!$E$2:$E$19)</f>
        <v>5</v>
      </c>
      <c r="D28" s="15">
        <f>SUMIF(Data!$C$2:$C$19,A28,Data!$G$2:$G$19)</f>
        <v>10100</v>
      </c>
      <c r="E28" s="16">
        <f>D28/D$29</f>
        <v>0.12183353437877</v>
      </c>
    </row>
    <row r="29" spans="1:5">
      <c r="A29" s="17" t="s">
        <v>6</v>
      </c>
      <c r="B29" s="17">
        <f>SUM(B25:B28)</f>
        <v>18</v>
      </c>
      <c r="C29" s="17">
        <f>SUM(C25:C28)</f>
        <v>38</v>
      </c>
      <c r="D29" s="18">
        <f>SUM(D25:D28)</f>
        <v>82900</v>
      </c>
      <c r="E29" s="19">
        <f>D29/D29</f>
        <v>1</v>
      </c>
    </row>
    <row r="32" ht="15.5" spans="1:5">
      <c r="A32" s="5" t="s">
        <v>69</v>
      </c>
    </row>
    <row r="33" spans="1:5">
      <c r="A33" s="8" t="s">
        <v>3</v>
      </c>
      <c r="B33" s="8" t="s">
        <v>64</v>
      </c>
      <c r="C33" s="8" t="s">
        <v>65</v>
      </c>
      <c r="D33" s="8" t="s">
        <v>66</v>
      </c>
      <c r="E33" s="8" t="s">
        <v>67</v>
      </c>
    </row>
    <row r="34" spans="1:5">
      <c r="A34" s="9" t="s">
        <v>10</v>
      </c>
      <c r="B34" s="9">
        <f>COUNTIF(Data!$D$2:$D$19,A34)</f>
        <v>5</v>
      </c>
      <c r="C34" s="9">
        <f>SUMIF(Data!$D$2:$D$19,A34,Data!$E$2:$E$19)</f>
        <v>9</v>
      </c>
      <c r="D34" s="15">
        <f>SUMIF(Data!$D$2:$D$19,A34,Data!$G$2:$G$19)</f>
        <v>31500</v>
      </c>
      <c r="E34" s="16">
        <f>D34/D$38</f>
        <v>0.379975874547648</v>
      </c>
    </row>
    <row r="35" spans="1:5">
      <c r="A35" s="9" t="s">
        <v>16</v>
      </c>
      <c r="B35" s="9">
        <f>COUNTIF(Data!$D$2:$D$19,A35)</f>
        <v>5</v>
      </c>
      <c r="C35" s="9">
        <f>SUMIF(Data!$D$2:$D$19,A35,Data!$E$2:$E$19)</f>
        <v>12</v>
      </c>
      <c r="D35" s="15">
        <f>SUMIF(Data!$D$2:$D$19,A35,Data!$G$2:$G$19)</f>
        <v>18000</v>
      </c>
      <c r="E35" s="16">
        <f>D35/D$38</f>
        <v>0.217129071170084</v>
      </c>
    </row>
    <row r="36" spans="1:5">
      <c r="A36" s="9" t="s">
        <v>19</v>
      </c>
      <c r="B36" s="9">
        <f>COUNTIF(Data!$D$2:$D$19,A36)</f>
        <v>4</v>
      </c>
      <c r="C36" s="9">
        <f>SUMIF(Data!$D$2:$D$19,A36,Data!$E$2:$E$19)</f>
        <v>10</v>
      </c>
      <c r="D36" s="15">
        <f>SUMIF(Data!$D$2:$D$19,A36,Data!$G$2:$G$19)</f>
        <v>18000</v>
      </c>
      <c r="E36" s="16">
        <f>D36/D$38</f>
        <v>0.217129071170084</v>
      </c>
    </row>
    <row r="37" spans="1:5">
      <c r="A37" s="9" t="s">
        <v>13</v>
      </c>
      <c r="B37" s="9">
        <f>COUNTIF(Data!$D$2:$D$19,A37)</f>
        <v>4</v>
      </c>
      <c r="C37" s="9">
        <f>SUMIF(Data!$D$2:$D$19,A37,Data!$E$2:$E$19)</f>
        <v>7</v>
      </c>
      <c r="D37" s="15">
        <f>SUMIF(Data!$D$2:$D$19,A37,Data!$G$2:$G$19)</f>
        <v>15400</v>
      </c>
      <c r="E37" s="16">
        <f>D37/D$38</f>
        <v>0.185765983112183</v>
      </c>
    </row>
    <row r="38" spans="1:5">
      <c r="A38" s="17" t="s">
        <v>6</v>
      </c>
      <c r="B38" s="17">
        <f>SUM(B34:B37)</f>
        <v>18</v>
      </c>
      <c r="C38" s="17">
        <f>SUM(C34:C37)</f>
        <v>38</v>
      </c>
      <c r="D38" s="18">
        <f>SUM(D34:D37)</f>
        <v>82900</v>
      </c>
      <c r="E38" s="19">
        <f>D38/D38</f>
        <v>1</v>
      </c>
    </row>
    <row r="41" spans="1:5">
      <c r="A41" s="20" t="s">
        <v>70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8"/>
  <sheetViews>
    <sheetView showGridLines="0" workbookViewId="0">
      <selection activeCell="A1" sqref="A1"/>
    </sheetView>
  </sheetViews>
  <sheetFormatPr defaultColWidth="8.68181818181818" defaultRowHeight="14.5"/>
  <cols>
    <col min="1" max="12" width="12" customWidth="1"/>
  </cols>
  <sheetData>
    <row r="1" ht="20" spans="1:11">
      <c r="A1" s="1" t="s">
        <v>71</v>
      </c>
    </row>
    <row r="3" spans="1:11">
      <c r="A3" s="2" t="s">
        <v>51</v>
      </c>
      <c r="B3" s="2"/>
      <c r="C3" s="2"/>
      <c r="E3" s="2" t="s">
        <v>72</v>
      </c>
      <c r="F3" s="2"/>
      <c r="G3" s="2"/>
      <c r="I3" s="2" t="s">
        <v>73</v>
      </c>
      <c r="J3" s="2"/>
      <c r="K3" s="2"/>
    </row>
    <row r="4" ht="36" customHeight="1" spans="1:11">
      <c r="A4" s="3">
        <f>Summary!B6</f>
        <v>82900</v>
      </c>
      <c r="B4" s="3"/>
      <c r="C4" s="3"/>
      <c r="E4" s="3">
        <f>Summary!B7</f>
        <v>4605.55555555556</v>
      </c>
      <c r="F4" s="3"/>
      <c r="G4" s="3"/>
      <c r="I4" s="4" t="str">
        <f>Summary!B10</f>
        <v>Embroidered Shawl</v>
      </c>
      <c r="J4" s="4"/>
      <c r="K4" s="4"/>
    </row>
    <row r="25" ht="15.5" spans="7:7">
      <c r="G25" s="5" t="s">
        <v>74</v>
      </c>
    </row>
    <row r="26" spans="7:7">
      <c r="G26" s="6" t="s">
        <v>75</v>
      </c>
    </row>
    <row r="27" spans="7:7">
      <c r="G27" s="6" t="s">
        <v>76</v>
      </c>
    </row>
    <row r="28" spans="7:7">
      <c r="G28" s="6" t="s">
        <v>77</v>
      </c>
    </row>
  </sheetData>
  <mergeCells count="6">
    <mergeCell ref="A3:C3"/>
    <mergeCell ref="E3:G3"/>
    <mergeCell ref="I3:K3"/>
    <mergeCell ref="A4:C4"/>
    <mergeCell ref="E4:G4"/>
    <mergeCell ref="I4:K4"/>
  </mergeCells>
  <pageMargins left="0.75" right="0.75" top="1" bottom="1" header="0.511811023622047" footer="0.511811023622047"/>
  <pageSetup paperSize="9" orientation="portrait" horizontalDpi="3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Data</vt:lpstr>
      <vt:lpstr>Cleaning Note</vt:lpstr>
      <vt:lpstr>Summary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cp:revision>1</cp:revision>
  <dcterms:created xsi:type="dcterms:W3CDTF">2026-10-24T12:29:00Z</dcterms:created>
  <dcterms:modified xsi:type="dcterms:W3CDTF">2026-10-24T12:40:45Z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A332FBB7A0A447F3AC5E4500E99A2217_13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